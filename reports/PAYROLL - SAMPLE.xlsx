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jabumwanyika/Desktop/"/>
    </mc:Choice>
  </mc:AlternateContent>
  <xr:revisionPtr revIDLastSave="0" documentId="8_{B5ED399A-5F09-8E45-B696-DE9785DB9CF4}" xr6:coauthVersionLast="47" xr6:coauthVersionMax="47" xr10:uidLastSave="{00000000-0000-0000-0000-000000000000}"/>
  <bookViews>
    <workbookView xWindow="460" yWindow="1100" windowWidth="27640" windowHeight="15280" xr2:uid="{7B37740C-4347-3046-B204-C44B5E348F92}"/>
  </bookViews>
  <sheets>
    <sheet name="NET SALARY (4)" sheetId="1" r:id="rId1"/>
  </sheets>
  <definedNames>
    <definedName name="_xlnm._FilterDatabase" localSheetId="0" hidden="1">'NET SALARY (4)'!$A$1:$M$1</definedName>
    <definedName name="_xlnm.Print_Area" localSheetId="0">'NET SALARY (4)'!$A$1:$L$17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17" i="1"/>
  <c r="D17" i="1"/>
  <c r="G16" i="1"/>
  <c r="G15" i="1"/>
  <c r="G14" i="1"/>
  <c r="O14" i="1" s="1"/>
  <c r="G13" i="1"/>
  <c r="M13" i="1" s="1"/>
  <c r="G12" i="1"/>
  <c r="O12" i="1" s="1"/>
  <c r="G11" i="1"/>
  <c r="N11" i="1" s="1"/>
  <c r="G10" i="1"/>
  <c r="G9" i="1"/>
  <c r="O9" i="1" s="1"/>
  <c r="G8" i="1"/>
  <c r="N8" i="1" s="1"/>
  <c r="G7" i="1"/>
  <c r="G6" i="1"/>
  <c r="O6" i="1" s="1"/>
  <c r="G5" i="1"/>
  <c r="N5" i="1" s="1"/>
  <c r="G4" i="1"/>
  <c r="O3" i="1"/>
  <c r="G3" i="1"/>
  <c r="G2" i="1"/>
  <c r="N2" i="1" s="1"/>
  <c r="O11" i="1" l="1"/>
  <c r="O8" i="1"/>
  <c r="O5" i="1"/>
  <c r="O2" i="1"/>
  <c r="G17" i="1"/>
  <c r="N4" i="1"/>
  <c r="O4" i="1"/>
  <c r="H4" i="1"/>
  <c r="M4" i="1"/>
  <c r="N7" i="1"/>
  <c r="H10" i="1"/>
  <c r="I10" i="1" s="1"/>
  <c r="J10" i="1" s="1"/>
  <c r="N10" i="1"/>
  <c r="N16" i="1"/>
  <c r="M3" i="1"/>
  <c r="M6" i="1"/>
  <c r="O7" i="1"/>
  <c r="M9" i="1"/>
  <c r="O10" i="1"/>
  <c r="M12" i="1"/>
  <c r="O13" i="1"/>
  <c r="M15" i="1"/>
  <c r="O16" i="1"/>
  <c r="M7" i="1"/>
  <c r="P7" i="1" s="1"/>
  <c r="N13" i="1"/>
  <c r="H16" i="1"/>
  <c r="H3" i="1"/>
  <c r="N3" i="1"/>
  <c r="H6" i="1"/>
  <c r="N6" i="1"/>
  <c r="H9" i="1"/>
  <c r="N9" i="1"/>
  <c r="H12" i="1"/>
  <c r="N12" i="1"/>
  <c r="H15" i="1"/>
  <c r="N15" i="1"/>
  <c r="M14" i="1"/>
  <c r="O15" i="1"/>
  <c r="M10" i="1"/>
  <c r="P10" i="1" s="1"/>
  <c r="M16" i="1"/>
  <c r="H7" i="1"/>
  <c r="I7" i="1" s="1"/>
  <c r="J7" i="1" s="1"/>
  <c r="H13" i="1"/>
  <c r="I13" i="1" s="1"/>
  <c r="J13" i="1" s="1"/>
  <c r="M2" i="1"/>
  <c r="M5" i="1"/>
  <c r="M8" i="1"/>
  <c r="M11" i="1"/>
  <c r="P11" i="1" s="1"/>
  <c r="H2" i="1"/>
  <c r="H5" i="1"/>
  <c r="H8" i="1"/>
  <c r="H11" i="1"/>
  <c r="H14" i="1"/>
  <c r="N14" i="1"/>
  <c r="P6" i="1" l="1"/>
  <c r="P5" i="1"/>
  <c r="P13" i="1"/>
  <c r="P12" i="1"/>
  <c r="O17" i="1"/>
  <c r="P16" i="1"/>
  <c r="P3" i="1"/>
  <c r="P15" i="1"/>
  <c r="P4" i="1"/>
  <c r="P8" i="1"/>
  <c r="P14" i="1"/>
  <c r="P9" i="1"/>
  <c r="N17" i="1"/>
  <c r="K10" i="1"/>
  <c r="L10" i="1" s="1"/>
  <c r="I5" i="1"/>
  <c r="J5" i="1" s="1"/>
  <c r="K5" i="1" s="1"/>
  <c r="L5" i="1" s="1"/>
  <c r="I2" i="1"/>
  <c r="H17" i="1"/>
  <c r="I6" i="1"/>
  <c r="J6" i="1" s="1"/>
  <c r="K6" i="1" s="1"/>
  <c r="L6" i="1" s="1"/>
  <c r="I9" i="1"/>
  <c r="J9" i="1" s="1"/>
  <c r="K9" i="1" s="1"/>
  <c r="L9" i="1" s="1"/>
  <c r="I11" i="1"/>
  <c r="J11" i="1" s="1"/>
  <c r="K11" i="1" s="1"/>
  <c r="L11" i="1" s="1"/>
  <c r="I15" i="1"/>
  <c r="J15" i="1" s="1"/>
  <c r="K15" i="1" s="1"/>
  <c r="L15" i="1" s="1"/>
  <c r="I3" i="1"/>
  <c r="J3" i="1" s="1"/>
  <c r="K3" i="1" s="1"/>
  <c r="L3" i="1" s="1"/>
  <c r="K13" i="1"/>
  <c r="L13" i="1" s="1"/>
  <c r="K7" i="1"/>
  <c r="L7" i="1" s="1"/>
  <c r="I14" i="1"/>
  <c r="J14" i="1" s="1"/>
  <c r="K14" i="1" s="1"/>
  <c r="L14" i="1" s="1"/>
  <c r="I8" i="1"/>
  <c r="J8" i="1" s="1"/>
  <c r="K8" i="1" s="1"/>
  <c r="L8" i="1" s="1"/>
  <c r="M17" i="1"/>
  <c r="P2" i="1"/>
  <c r="I12" i="1"/>
  <c r="J12" i="1" s="1"/>
  <c r="K12" i="1" s="1"/>
  <c r="L12" i="1" s="1"/>
  <c r="I16" i="1"/>
  <c r="J16" i="1" s="1"/>
  <c r="K16" i="1" s="1"/>
  <c r="L16" i="1" s="1"/>
  <c r="I4" i="1"/>
  <c r="J4" i="1" s="1"/>
  <c r="K4" i="1" s="1"/>
  <c r="L4" i="1" s="1"/>
  <c r="P17" i="1" l="1"/>
  <c r="I17" i="1"/>
  <c r="J2" i="1"/>
  <c r="J17" i="1" l="1"/>
  <c r="K2" i="1"/>
  <c r="K17" i="1" l="1"/>
  <c r="L2" i="1"/>
  <c r="L17" i="1" s="1"/>
</calcChain>
</file>

<file path=xl/sharedStrings.xml><?xml version="1.0" encoding="utf-8"?>
<sst xmlns="http://schemas.openxmlformats.org/spreadsheetml/2006/main" count="47" uniqueCount="40">
  <si>
    <t>SN</t>
  </si>
  <si>
    <t>NAME OF THE EMPLOYEE</t>
  </si>
  <si>
    <t>DEPARTMENT</t>
  </si>
  <si>
    <t>BASIC SALARIES</t>
  </si>
  <si>
    <t>OVERTIME &amp; ALLOWANCES</t>
  </si>
  <si>
    <t>BONUS / COMMISSION</t>
  </si>
  <si>
    <t>GROSS SALARIES</t>
  </si>
  <si>
    <t>EMPLOYEE NSSF 10%</t>
  </si>
  <si>
    <t>TAXABLE SALARY</t>
  </si>
  <si>
    <t>PAYE</t>
  </si>
  <si>
    <t>TOTAL DEDUCTIONS</t>
  </si>
  <si>
    <t>NET SALARIES</t>
  </si>
  <si>
    <t>EMPLOYER NSSF 10%</t>
  </si>
  <si>
    <t>SDL 3.5%</t>
  </si>
  <si>
    <t>WCF 0.5%</t>
  </si>
  <si>
    <t>EMPLOYER COST</t>
  </si>
  <si>
    <t>HADIJA NURU</t>
  </si>
  <si>
    <t>SALES</t>
  </si>
  <si>
    <t>IRENE MUSOMI</t>
  </si>
  <si>
    <t>DIANI DOTTO</t>
  </si>
  <si>
    <t>MARY MOSHI</t>
  </si>
  <si>
    <t>HEVELYN KESSY</t>
  </si>
  <si>
    <t>MAUREEN KABAREGA</t>
  </si>
  <si>
    <t>FINANCE</t>
  </si>
  <si>
    <t>SHABANI MBAGA</t>
  </si>
  <si>
    <t>DRIVER</t>
  </si>
  <si>
    <t>MUDATHIR MAGINA</t>
  </si>
  <si>
    <t>BONIFACE CHRISPIN</t>
  </si>
  <si>
    <t>IT</t>
  </si>
  <si>
    <t>CHARITY MTEI</t>
  </si>
  <si>
    <t>OPERATIONAL</t>
  </si>
  <si>
    <t xml:space="preserve">BARAKA </t>
  </si>
  <si>
    <t>RAJABU MWANYIKA</t>
  </si>
  <si>
    <t>MD</t>
  </si>
  <si>
    <t>IDDI IDDI</t>
  </si>
  <si>
    <t>PROCUREMENT</t>
  </si>
  <si>
    <t>MAMA HUSNA</t>
  </si>
  <si>
    <t>CLEANER</t>
  </si>
  <si>
    <t>STEPHANO</t>
  </si>
  <si>
    <t>GRAND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</si>
</sst>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12"/>
      <name val="Bahnschrift Condensed"/>
      <family val="2"/>
    </font>
    <font>
      <b/>
      <sz val="12"/>
      <color theme="0"/>
      <name val="Bahnschrift Condensed"/>
      <family val="2"/>
    </font>
    <font>
      <sz val="10"/>
      <name val="Bahnschrift Condensed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Bahnschrift Condensed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164" fontId="6" fillId="0" borderId="1" xfId="1" applyNumberFormat="1" applyFont="1" applyFill="1" applyBorder="1" applyAlignment="1">
      <alignment horizontal="right"/>
    </xf>
    <xf numFmtId="164" fontId="7" fillId="0" borderId="1" xfId="0" applyNumberFormat="1" applyFont="1" applyBorder="1"/>
    <xf numFmtId="0" fontId="8" fillId="0" borderId="0" xfId="0" applyFont="1"/>
    <xf numFmtId="0" fontId="5" fillId="0" borderId="1" xfId="0" applyFont="1" applyBorder="1"/>
    <xf numFmtId="0" fontId="9" fillId="3" borderId="1" xfId="0" applyFont="1" applyFill="1" applyBorder="1"/>
    <xf numFmtId="0" fontId="9" fillId="3" borderId="2" xfId="0" applyFont="1" applyFill="1" applyBorder="1"/>
    <xf numFmtId="164" fontId="9" fillId="3" borderId="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9E25-06A8-2448-9ACD-184FC02129FB}">
  <sheetPr>
    <pageSetUpPr fitToPage="1"/>
  </sheetPr>
  <dimension ref="A1:P17"/>
  <sheetViews>
    <sheetView tabSelected="1" workbookViewId="0">
      <pane xSplit="2" ySplit="1" topLeftCell="C2" activePane="bottomRight" state="frozen"/>
      <selection pane="topRight" activeCell="B8" sqref="B8"/>
      <selection pane="bottomLeft" activeCell="B8" sqref="B8"/>
      <selection pane="bottomRight" activeCell="F19" sqref="F19"/>
    </sheetView>
  </sheetViews>
  <sheetFormatPr baseColWidth="10" defaultColWidth="8.83203125" defaultRowHeight="12" x14ac:dyDescent="0.15"/>
  <cols>
    <col min="1" max="1" width="8.6640625" style="5" customWidth="1"/>
    <col min="2" max="2" width="32.6640625" style="5" bestFit="1" customWidth="1"/>
    <col min="3" max="3" width="15.5" style="5" bestFit="1" customWidth="1"/>
    <col min="4" max="4" width="16.1640625" style="5" bestFit="1" customWidth="1"/>
    <col min="5" max="5" width="21.5" style="5" bestFit="1" customWidth="1"/>
    <col min="6" max="6" width="19.5" style="5" bestFit="1" customWidth="1"/>
    <col min="7" max="7" width="18.1640625" style="5" bestFit="1" customWidth="1"/>
    <col min="8" max="8" width="14.1640625" style="5" customWidth="1"/>
    <col min="9" max="9" width="16.6640625" style="5" bestFit="1" customWidth="1"/>
    <col min="10" max="10" width="13.6640625" style="5" bestFit="1" customWidth="1"/>
    <col min="11" max="11" width="17.83203125" style="5" bestFit="1" customWidth="1"/>
    <col min="12" max="12" width="14.83203125" style="5" bestFit="1" customWidth="1"/>
    <col min="13" max="16" width="11.5" style="5" bestFit="1" customWidth="1"/>
    <col min="17" max="16384" width="8.83203125" style="5"/>
  </cols>
  <sheetData>
    <row r="1" spans="1:16" ht="28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</row>
    <row r="2" spans="1:16" s="11" customFormat="1" ht="14" x14ac:dyDescent="0.15">
      <c r="A2" s="6">
        <v>1</v>
      </c>
      <c r="B2" s="7" t="s">
        <v>16</v>
      </c>
      <c r="C2" s="7" t="s">
        <v>17</v>
      </c>
      <c r="D2" s="8">
        <v>1314285.7142857143</v>
      </c>
      <c r="E2" s="8">
        <v>0</v>
      </c>
      <c r="F2" s="8">
        <v>0</v>
      </c>
      <c r="G2" s="8">
        <f t="shared" ref="G2:G16" si="0">+D2+E2+F2</f>
        <v>1314285.7142857143</v>
      </c>
      <c r="H2" s="8">
        <f>G2*10%</f>
        <v>131428.57142857145</v>
      </c>
      <c r="I2" s="8">
        <f>G2-H2</f>
        <v>1182857.142857143</v>
      </c>
      <c r="J2" s="9">
        <f>IF(((I2&gt;1000000)),(0.3*(I2-1000000)+128000),IF((AND(I2&gt;761000, OR(I2&lt;1000000,I2=1000000 ))),(0.25*(I2-760000)+68000),IF((AND(I2&gt;521000,(OR(I2&lt;760000,0=760000)))),(0.2*(I2-520000)+20000),IF((AND(I2&gt;270000,(OR(I2&lt;520000,I2=520000)))),0.08*(I2-270000),0))))</f>
        <v>182857.1428571429</v>
      </c>
      <c r="K2" s="8">
        <f>H2+J2</f>
        <v>314285.71428571432</v>
      </c>
      <c r="L2" s="10">
        <f t="shared" ref="L2:L16" si="1">G2-K2</f>
        <v>1000000</v>
      </c>
      <c r="M2" s="8">
        <f>G2*10%</f>
        <v>131428.57142857145</v>
      </c>
      <c r="N2" s="8">
        <f>G2*3.5%</f>
        <v>46000.000000000007</v>
      </c>
      <c r="O2" s="8">
        <f>G2*0.5%</f>
        <v>6571.4285714285716</v>
      </c>
      <c r="P2" s="8">
        <f>G2+M2+N2+O2</f>
        <v>1498285.7142857143</v>
      </c>
    </row>
    <row r="3" spans="1:16" s="11" customFormat="1" ht="14" x14ac:dyDescent="0.15">
      <c r="A3" s="6">
        <v>2</v>
      </c>
      <c r="B3" s="7" t="s">
        <v>18</v>
      </c>
      <c r="C3" s="7" t="s">
        <v>17</v>
      </c>
      <c r="D3" s="8">
        <v>716666.66666666674</v>
      </c>
      <c r="E3" s="8">
        <v>0</v>
      </c>
      <c r="F3" s="8">
        <v>0</v>
      </c>
      <c r="G3" s="8">
        <f t="shared" si="0"/>
        <v>716666.66666666674</v>
      </c>
      <c r="H3" s="8">
        <f t="shared" ref="H3:H16" si="2">G3*10%</f>
        <v>71666.666666666672</v>
      </c>
      <c r="I3" s="8">
        <f t="shared" ref="I3:I16" si="3">G3-H3</f>
        <v>645000.00000000012</v>
      </c>
      <c r="J3" s="9">
        <f t="shared" ref="J3:J16" si="4">IF(((I3&gt;1000000)),(0.3*(I3-1000000)+128000),IF((AND(I3&gt;761000, OR(I3&lt;1000000,I3=1000000 ))),(0.25*(I3-760000)+68000),IF((AND(I3&gt;521000,(OR(I3&lt;760000,0=760000)))),(0.2*(I3-520000)+20000),IF((AND(I3&gt;270000,(OR(I3&lt;520000,I3=520000)))),0.08*(I3-270000),0))))</f>
        <v>45000.000000000029</v>
      </c>
      <c r="K3" s="8">
        <f t="shared" ref="K3:K16" si="5">H3+J3</f>
        <v>116666.6666666667</v>
      </c>
      <c r="L3" s="10">
        <f t="shared" si="1"/>
        <v>600000</v>
      </c>
      <c r="M3" s="8">
        <f t="shared" ref="M3:M16" si="6">G3*10%</f>
        <v>71666.666666666672</v>
      </c>
      <c r="N3" s="8">
        <f t="shared" ref="N3:N16" si="7">G3*3.5%</f>
        <v>25083.333333333339</v>
      </c>
      <c r="O3" s="8">
        <f t="shared" ref="O3:O16" si="8">G3*0.5%</f>
        <v>3583.3333333333339</v>
      </c>
      <c r="P3" s="8">
        <f t="shared" ref="P3:P16" si="9">G3+M3+N3+O3</f>
        <v>817000.00000000012</v>
      </c>
    </row>
    <row r="4" spans="1:16" s="11" customFormat="1" ht="14" x14ac:dyDescent="0.15">
      <c r="A4" s="6">
        <v>3</v>
      </c>
      <c r="B4" s="7" t="s">
        <v>19</v>
      </c>
      <c r="C4" s="7" t="s">
        <v>17</v>
      </c>
      <c r="D4" s="8">
        <v>716666.66666666674</v>
      </c>
      <c r="E4" s="8">
        <v>0</v>
      </c>
      <c r="F4" s="8">
        <v>0</v>
      </c>
      <c r="G4" s="8">
        <f t="shared" si="0"/>
        <v>716666.66666666674</v>
      </c>
      <c r="H4" s="8">
        <f t="shared" si="2"/>
        <v>71666.666666666672</v>
      </c>
      <c r="I4" s="8">
        <f t="shared" si="3"/>
        <v>645000.00000000012</v>
      </c>
      <c r="J4" s="9">
        <f t="shared" si="4"/>
        <v>45000.000000000029</v>
      </c>
      <c r="K4" s="8">
        <f t="shared" si="5"/>
        <v>116666.6666666667</v>
      </c>
      <c r="L4" s="10">
        <f t="shared" si="1"/>
        <v>600000</v>
      </c>
      <c r="M4" s="8">
        <f t="shared" si="6"/>
        <v>71666.666666666672</v>
      </c>
      <c r="N4" s="8">
        <f t="shared" si="7"/>
        <v>25083.333333333339</v>
      </c>
      <c r="O4" s="8">
        <f t="shared" si="8"/>
        <v>3583.3333333333339</v>
      </c>
      <c r="P4" s="8">
        <f t="shared" si="9"/>
        <v>817000.00000000012</v>
      </c>
    </row>
    <row r="5" spans="1:16" s="11" customFormat="1" ht="14" x14ac:dyDescent="0.15">
      <c r="A5" s="6">
        <v>4</v>
      </c>
      <c r="B5" s="7" t="s">
        <v>20</v>
      </c>
      <c r="C5" s="7" t="s">
        <v>17</v>
      </c>
      <c r="D5" s="8">
        <v>716666.66666666674</v>
      </c>
      <c r="E5" s="8">
        <v>0</v>
      </c>
      <c r="F5" s="8">
        <v>0</v>
      </c>
      <c r="G5" s="8">
        <f t="shared" si="0"/>
        <v>716666.66666666674</v>
      </c>
      <c r="H5" s="8">
        <f t="shared" si="2"/>
        <v>71666.666666666672</v>
      </c>
      <c r="I5" s="8">
        <f t="shared" si="3"/>
        <v>645000.00000000012</v>
      </c>
      <c r="J5" s="9">
        <f t="shared" si="4"/>
        <v>45000.000000000029</v>
      </c>
      <c r="K5" s="8">
        <f t="shared" si="5"/>
        <v>116666.6666666667</v>
      </c>
      <c r="L5" s="10">
        <f t="shared" si="1"/>
        <v>600000</v>
      </c>
      <c r="M5" s="8">
        <f t="shared" si="6"/>
        <v>71666.666666666672</v>
      </c>
      <c r="N5" s="8">
        <f t="shared" si="7"/>
        <v>25083.333333333339</v>
      </c>
      <c r="O5" s="8">
        <f t="shared" si="8"/>
        <v>3583.3333333333339</v>
      </c>
      <c r="P5" s="8">
        <f t="shared" si="9"/>
        <v>817000.00000000012</v>
      </c>
    </row>
    <row r="6" spans="1:16" s="11" customFormat="1" ht="14" x14ac:dyDescent="0.15">
      <c r="A6" s="6">
        <v>5</v>
      </c>
      <c r="B6" s="7" t="s">
        <v>21</v>
      </c>
      <c r="C6" s="7" t="s">
        <v>17</v>
      </c>
      <c r="D6" s="8">
        <v>716666.66666666698</v>
      </c>
      <c r="E6" s="8">
        <v>0</v>
      </c>
      <c r="F6" s="8">
        <v>0</v>
      </c>
      <c r="G6" s="8">
        <f t="shared" si="0"/>
        <v>716666.66666666698</v>
      </c>
      <c r="H6" s="8">
        <f t="shared" si="2"/>
        <v>71666.666666666701</v>
      </c>
      <c r="I6" s="8">
        <f t="shared" si="3"/>
        <v>645000.00000000023</v>
      </c>
      <c r="J6" s="9">
        <f t="shared" si="4"/>
        <v>45000.000000000044</v>
      </c>
      <c r="K6" s="8">
        <f t="shared" si="5"/>
        <v>116666.66666666674</v>
      </c>
      <c r="L6" s="10">
        <f t="shared" si="1"/>
        <v>600000.00000000023</v>
      </c>
      <c r="M6" s="8">
        <f t="shared" si="6"/>
        <v>71666.666666666701</v>
      </c>
      <c r="N6" s="8">
        <f t="shared" si="7"/>
        <v>25083.333333333347</v>
      </c>
      <c r="O6" s="8">
        <f t="shared" si="8"/>
        <v>3583.3333333333348</v>
      </c>
      <c r="P6" s="8">
        <f t="shared" si="9"/>
        <v>817000.00000000047</v>
      </c>
    </row>
    <row r="7" spans="1:16" s="11" customFormat="1" ht="14" x14ac:dyDescent="0.15">
      <c r="A7" s="6">
        <v>6</v>
      </c>
      <c r="B7" s="7" t="s">
        <v>22</v>
      </c>
      <c r="C7" s="7" t="s">
        <v>23</v>
      </c>
      <c r="D7" s="8">
        <v>716666.66666666674</v>
      </c>
      <c r="E7" s="8">
        <v>0</v>
      </c>
      <c r="F7" s="8">
        <v>0</v>
      </c>
      <c r="G7" s="8">
        <f t="shared" si="0"/>
        <v>716666.66666666674</v>
      </c>
      <c r="H7" s="8">
        <f t="shared" si="2"/>
        <v>71666.666666666672</v>
      </c>
      <c r="I7" s="8">
        <f t="shared" si="3"/>
        <v>645000.00000000012</v>
      </c>
      <c r="J7" s="9">
        <f t="shared" si="4"/>
        <v>45000.000000000029</v>
      </c>
      <c r="K7" s="8">
        <f t="shared" si="5"/>
        <v>116666.6666666667</v>
      </c>
      <c r="L7" s="10">
        <f t="shared" si="1"/>
        <v>600000</v>
      </c>
      <c r="M7" s="8">
        <f t="shared" si="6"/>
        <v>71666.666666666672</v>
      </c>
      <c r="N7" s="8">
        <f t="shared" si="7"/>
        <v>25083.333333333339</v>
      </c>
      <c r="O7" s="8">
        <f t="shared" si="8"/>
        <v>3583.3333333333339</v>
      </c>
      <c r="P7" s="8">
        <f t="shared" si="9"/>
        <v>817000.00000000012</v>
      </c>
    </row>
    <row r="8" spans="1:16" s="11" customFormat="1" ht="14" x14ac:dyDescent="0.15">
      <c r="A8" s="6">
        <v>7</v>
      </c>
      <c r="B8" s="7" t="s">
        <v>24</v>
      </c>
      <c r="C8" s="7" t="s">
        <v>25</v>
      </c>
      <c r="D8" s="8">
        <v>457004.83091787441</v>
      </c>
      <c r="E8" s="8">
        <v>0</v>
      </c>
      <c r="F8" s="8">
        <v>0</v>
      </c>
      <c r="G8" s="8">
        <f t="shared" si="0"/>
        <v>457004.83091787441</v>
      </c>
      <c r="H8" s="8">
        <f t="shared" si="2"/>
        <v>45700.483091787442</v>
      </c>
      <c r="I8" s="8">
        <f t="shared" si="3"/>
        <v>411304.34782608697</v>
      </c>
      <c r="J8" s="9">
        <f t="shared" si="4"/>
        <v>11304.347826086958</v>
      </c>
      <c r="K8" s="8">
        <f t="shared" si="5"/>
        <v>57004.830917874402</v>
      </c>
      <c r="L8" s="10">
        <f t="shared" si="1"/>
        <v>400000</v>
      </c>
      <c r="M8" s="8">
        <f t="shared" si="6"/>
        <v>45700.483091787442</v>
      </c>
      <c r="N8" s="8">
        <f t="shared" si="7"/>
        <v>15995.169082125605</v>
      </c>
      <c r="O8" s="8">
        <f t="shared" si="8"/>
        <v>2285.0241545893723</v>
      </c>
      <c r="P8" s="8">
        <f t="shared" si="9"/>
        <v>520985.50724637683</v>
      </c>
    </row>
    <row r="9" spans="1:16" s="11" customFormat="1" ht="14" x14ac:dyDescent="0.15">
      <c r="A9" s="6">
        <v>8</v>
      </c>
      <c r="B9" s="7" t="s">
        <v>26</v>
      </c>
      <c r="C9" s="7" t="s">
        <v>25</v>
      </c>
      <c r="D9" s="8">
        <v>457004.83091787441</v>
      </c>
      <c r="E9" s="8">
        <v>0</v>
      </c>
      <c r="F9" s="8">
        <v>0</v>
      </c>
      <c r="G9" s="8">
        <f t="shared" si="0"/>
        <v>457004.83091787441</v>
      </c>
      <c r="H9" s="8">
        <f t="shared" si="2"/>
        <v>45700.483091787442</v>
      </c>
      <c r="I9" s="8">
        <f t="shared" si="3"/>
        <v>411304.34782608697</v>
      </c>
      <c r="J9" s="9">
        <f t="shared" si="4"/>
        <v>11304.347826086958</v>
      </c>
      <c r="K9" s="8">
        <f t="shared" si="5"/>
        <v>57004.830917874402</v>
      </c>
      <c r="L9" s="10">
        <f t="shared" si="1"/>
        <v>400000</v>
      </c>
      <c r="M9" s="8">
        <f t="shared" si="6"/>
        <v>45700.483091787442</v>
      </c>
      <c r="N9" s="8">
        <f t="shared" si="7"/>
        <v>15995.169082125605</v>
      </c>
      <c r="O9" s="8">
        <f t="shared" si="8"/>
        <v>2285.0241545893723</v>
      </c>
      <c r="P9" s="8">
        <f t="shared" si="9"/>
        <v>520985.50724637683</v>
      </c>
    </row>
    <row r="10" spans="1:16" s="11" customFormat="1" ht="14" x14ac:dyDescent="0.15">
      <c r="A10" s="6">
        <v>9</v>
      </c>
      <c r="B10" s="7" t="s">
        <v>27</v>
      </c>
      <c r="C10" s="7" t="s">
        <v>28</v>
      </c>
      <c r="D10" s="8">
        <v>457004.83091787441</v>
      </c>
      <c r="E10" s="8">
        <v>0</v>
      </c>
      <c r="F10" s="8">
        <v>0</v>
      </c>
      <c r="G10" s="8">
        <f t="shared" si="0"/>
        <v>457004.83091787441</v>
      </c>
      <c r="H10" s="8">
        <f>G10*10%</f>
        <v>45700.483091787442</v>
      </c>
      <c r="I10" s="8">
        <f t="shared" si="3"/>
        <v>411304.34782608697</v>
      </c>
      <c r="J10" s="9">
        <f t="shared" si="4"/>
        <v>11304.347826086958</v>
      </c>
      <c r="K10" s="8">
        <f t="shared" si="5"/>
        <v>57004.830917874402</v>
      </c>
      <c r="L10" s="10">
        <f t="shared" si="1"/>
        <v>400000</v>
      </c>
      <c r="M10" s="8">
        <f t="shared" si="6"/>
        <v>45700.483091787442</v>
      </c>
      <c r="N10" s="8">
        <f t="shared" si="7"/>
        <v>15995.169082125605</v>
      </c>
      <c r="O10" s="8">
        <f t="shared" si="8"/>
        <v>2285.0241545893723</v>
      </c>
      <c r="P10" s="8">
        <f t="shared" si="9"/>
        <v>520985.50724637683</v>
      </c>
    </row>
    <row r="11" spans="1:16" s="11" customFormat="1" ht="14" x14ac:dyDescent="0.15">
      <c r="A11" s="6">
        <v>10</v>
      </c>
      <c r="B11" s="7" t="s">
        <v>29</v>
      </c>
      <c r="C11" s="7" t="s">
        <v>30</v>
      </c>
      <c r="D11" s="8">
        <v>336231.88405797101</v>
      </c>
      <c r="E11" s="8">
        <v>0</v>
      </c>
      <c r="F11" s="8">
        <v>0</v>
      </c>
      <c r="G11" s="8">
        <f t="shared" si="0"/>
        <v>336231.88405797101</v>
      </c>
      <c r="H11" s="8">
        <f t="shared" si="2"/>
        <v>33623.188405797104</v>
      </c>
      <c r="I11" s="8">
        <f t="shared" si="3"/>
        <v>302608.69565217389</v>
      </c>
      <c r="J11" s="9">
        <f t="shared" si="4"/>
        <v>2608.6956521739112</v>
      </c>
      <c r="K11" s="8">
        <f t="shared" si="5"/>
        <v>36231.884057971016</v>
      </c>
      <c r="L11" s="10">
        <f t="shared" si="1"/>
        <v>300000</v>
      </c>
      <c r="M11" s="8">
        <f t="shared" si="6"/>
        <v>33623.188405797104</v>
      </c>
      <c r="N11" s="8">
        <f t="shared" si="7"/>
        <v>11768.115942028986</v>
      </c>
      <c r="O11" s="8">
        <f t="shared" si="8"/>
        <v>1681.159420289855</v>
      </c>
      <c r="P11" s="8">
        <f t="shared" si="9"/>
        <v>383304.34782608697</v>
      </c>
    </row>
    <row r="12" spans="1:16" s="11" customFormat="1" ht="14" x14ac:dyDescent="0.15">
      <c r="A12" s="6">
        <v>11</v>
      </c>
      <c r="B12" s="7" t="s">
        <v>31</v>
      </c>
      <c r="C12" s="7" t="s">
        <v>28</v>
      </c>
      <c r="D12" s="8">
        <v>716666.66666666674</v>
      </c>
      <c r="E12" s="8">
        <v>0</v>
      </c>
      <c r="F12" s="8">
        <v>0</v>
      </c>
      <c r="G12" s="8">
        <f t="shared" si="0"/>
        <v>716666.66666666674</v>
      </c>
      <c r="H12" s="8">
        <f t="shared" si="2"/>
        <v>71666.666666666672</v>
      </c>
      <c r="I12" s="8">
        <f t="shared" si="3"/>
        <v>645000.00000000012</v>
      </c>
      <c r="J12" s="9">
        <f t="shared" si="4"/>
        <v>45000.000000000029</v>
      </c>
      <c r="K12" s="8">
        <f t="shared" si="5"/>
        <v>116666.6666666667</v>
      </c>
      <c r="L12" s="10">
        <f t="shared" si="1"/>
        <v>600000</v>
      </c>
      <c r="M12" s="8">
        <f t="shared" si="6"/>
        <v>71666.666666666672</v>
      </c>
      <c r="N12" s="8">
        <f t="shared" si="7"/>
        <v>25083.333333333339</v>
      </c>
      <c r="O12" s="8">
        <f t="shared" si="8"/>
        <v>3583.3333333333339</v>
      </c>
      <c r="P12" s="8">
        <f t="shared" si="9"/>
        <v>817000.00000000012</v>
      </c>
    </row>
    <row r="13" spans="1:16" s="11" customFormat="1" ht="14" x14ac:dyDescent="0.15">
      <c r="A13" s="6">
        <v>12</v>
      </c>
      <c r="B13" s="7" t="s">
        <v>32</v>
      </c>
      <c r="C13" s="7" t="s">
        <v>33</v>
      </c>
      <c r="D13" s="8">
        <v>2901587.3015873018</v>
      </c>
      <c r="E13" s="8">
        <v>0</v>
      </c>
      <c r="F13" s="8">
        <v>0</v>
      </c>
      <c r="G13" s="8">
        <f t="shared" si="0"/>
        <v>2901587.3015873018</v>
      </c>
      <c r="H13" s="8">
        <f t="shared" si="2"/>
        <v>290158.73015873018</v>
      </c>
      <c r="I13" s="8">
        <f t="shared" si="3"/>
        <v>2611428.5714285718</v>
      </c>
      <c r="J13" s="9">
        <f t="shared" si="4"/>
        <v>611428.57142857159</v>
      </c>
      <c r="K13" s="8">
        <f t="shared" si="5"/>
        <v>901587.30158730177</v>
      </c>
      <c r="L13" s="10">
        <f t="shared" si="1"/>
        <v>2000000</v>
      </c>
      <c r="M13" s="8">
        <f t="shared" si="6"/>
        <v>290158.73015873018</v>
      </c>
      <c r="N13" s="8">
        <f t="shared" si="7"/>
        <v>101555.55555555558</v>
      </c>
      <c r="O13" s="8">
        <f t="shared" si="8"/>
        <v>14507.936507936509</v>
      </c>
      <c r="P13" s="8">
        <f t="shared" si="9"/>
        <v>3307809.5238095238</v>
      </c>
    </row>
    <row r="14" spans="1:16" s="11" customFormat="1" ht="14" x14ac:dyDescent="0.15">
      <c r="A14" s="6">
        <v>13</v>
      </c>
      <c r="B14" s="7" t="s">
        <v>34</v>
      </c>
      <c r="C14" s="7" t="s">
        <v>35</v>
      </c>
      <c r="D14" s="8">
        <v>1004444</v>
      </c>
      <c r="E14" s="8">
        <v>0</v>
      </c>
      <c r="F14" s="8">
        <v>0</v>
      </c>
      <c r="G14" s="8">
        <f t="shared" si="0"/>
        <v>1004444</v>
      </c>
      <c r="H14" s="8">
        <f t="shared" si="2"/>
        <v>100444.40000000001</v>
      </c>
      <c r="I14" s="8">
        <f t="shared" si="3"/>
        <v>903999.6</v>
      </c>
      <c r="J14" s="9">
        <f t="shared" si="4"/>
        <v>103999.9</v>
      </c>
      <c r="K14" s="8">
        <f t="shared" si="5"/>
        <v>204444.3</v>
      </c>
      <c r="L14" s="10">
        <f t="shared" si="1"/>
        <v>799999.7</v>
      </c>
      <c r="M14" s="8">
        <f t="shared" si="6"/>
        <v>100444.40000000001</v>
      </c>
      <c r="N14" s="8">
        <f t="shared" si="7"/>
        <v>35155.54</v>
      </c>
      <c r="O14" s="8">
        <f t="shared" si="8"/>
        <v>5022.22</v>
      </c>
      <c r="P14" s="8">
        <f t="shared" si="9"/>
        <v>1145066.1599999999</v>
      </c>
    </row>
    <row r="15" spans="1:16" s="11" customFormat="1" ht="14" x14ac:dyDescent="0.15">
      <c r="A15" s="6">
        <v>14</v>
      </c>
      <c r="B15" s="7" t="s">
        <v>36</v>
      </c>
      <c r="C15" s="7" t="s">
        <v>37</v>
      </c>
      <c r="D15" s="8">
        <v>166666.66666666666</v>
      </c>
      <c r="E15" s="8">
        <v>0</v>
      </c>
      <c r="F15" s="8">
        <v>0</v>
      </c>
      <c r="G15" s="8">
        <f t="shared" si="0"/>
        <v>166666.66666666666</v>
      </c>
      <c r="H15" s="8">
        <f t="shared" si="2"/>
        <v>16666.666666666668</v>
      </c>
      <c r="I15" s="8">
        <f t="shared" si="3"/>
        <v>150000</v>
      </c>
      <c r="J15" s="9">
        <f t="shared" si="4"/>
        <v>0</v>
      </c>
      <c r="K15" s="8">
        <f t="shared" si="5"/>
        <v>16666.666666666668</v>
      </c>
      <c r="L15" s="10">
        <f t="shared" si="1"/>
        <v>150000</v>
      </c>
      <c r="M15" s="8">
        <f t="shared" si="6"/>
        <v>16666.666666666668</v>
      </c>
      <c r="N15" s="8">
        <f t="shared" si="7"/>
        <v>5833.3333333333339</v>
      </c>
      <c r="O15" s="8">
        <f t="shared" si="8"/>
        <v>833.33333333333326</v>
      </c>
      <c r="P15" s="8">
        <f t="shared" si="9"/>
        <v>190000</v>
      </c>
    </row>
    <row r="16" spans="1:16" s="11" customFormat="1" ht="14" x14ac:dyDescent="0.15">
      <c r="A16" s="6">
        <v>15</v>
      </c>
      <c r="B16" s="7" t="s">
        <v>38</v>
      </c>
      <c r="C16" s="7" t="s">
        <v>37</v>
      </c>
      <c r="D16" s="8">
        <v>166666.66666666666</v>
      </c>
      <c r="E16" s="8">
        <v>0</v>
      </c>
      <c r="F16" s="8">
        <v>0</v>
      </c>
      <c r="G16" s="8">
        <f t="shared" si="0"/>
        <v>166666.66666666666</v>
      </c>
      <c r="H16" s="8">
        <f t="shared" si="2"/>
        <v>16666.666666666668</v>
      </c>
      <c r="I16" s="8">
        <f t="shared" si="3"/>
        <v>150000</v>
      </c>
      <c r="J16" s="9">
        <f t="shared" si="4"/>
        <v>0</v>
      </c>
      <c r="K16" s="8">
        <f t="shared" si="5"/>
        <v>16666.666666666668</v>
      </c>
      <c r="L16" s="10">
        <f t="shared" si="1"/>
        <v>150000</v>
      </c>
      <c r="M16" s="8">
        <f t="shared" si="6"/>
        <v>16666.666666666668</v>
      </c>
      <c r="N16" s="8">
        <f t="shared" si="7"/>
        <v>5833.3333333333339</v>
      </c>
      <c r="O16" s="8">
        <f t="shared" si="8"/>
        <v>833.33333333333326</v>
      </c>
      <c r="P16" s="8">
        <f t="shared" si="9"/>
        <v>190000</v>
      </c>
    </row>
    <row r="17" spans="1:16" ht="18" customHeight="1" thickBot="1" x14ac:dyDescent="0.2">
      <c r="A17" s="12"/>
      <c r="B17" s="13" t="s">
        <v>39</v>
      </c>
      <c r="C17" s="14"/>
      <c r="D17" s="15">
        <f t="shared" ref="D17:P17" si="10">SUM(D2:D16)</f>
        <v>11560896.726017943</v>
      </c>
      <c r="E17" s="15">
        <f t="shared" si="10"/>
        <v>0</v>
      </c>
      <c r="F17" s="15">
        <f t="shared" si="10"/>
        <v>0</v>
      </c>
      <c r="G17" s="15">
        <f t="shared" si="10"/>
        <v>11560896.726017943</v>
      </c>
      <c r="H17" s="15">
        <f t="shared" si="10"/>
        <v>1156089.6726017946</v>
      </c>
      <c r="I17" s="15">
        <f t="shared" si="10"/>
        <v>10404807.05341615</v>
      </c>
      <c r="J17" s="15">
        <f t="shared" si="10"/>
        <v>1204807.3534161495</v>
      </c>
      <c r="K17" s="15">
        <f t="shared" si="10"/>
        <v>2360897.0260179434</v>
      </c>
      <c r="L17" s="15">
        <f t="shared" si="10"/>
        <v>9199999.6999999993</v>
      </c>
      <c r="M17" s="15">
        <f t="shared" si="10"/>
        <v>1156089.6726017946</v>
      </c>
      <c r="N17" s="15">
        <f t="shared" si="10"/>
        <v>404631.38541062805</v>
      </c>
      <c r="O17" s="15">
        <f t="shared" si="10"/>
        <v>57804.483630089737</v>
      </c>
      <c r="P17" s="15">
        <f t="shared" si="10"/>
        <v>13179422.267660456</v>
      </c>
    </row>
  </sheetData>
  <autoFilter ref="A1:M1" xr:uid="{00000000-0001-0000-0100-000000000000}">
    <sortState xmlns:xlrd2="http://schemas.microsoft.com/office/spreadsheetml/2017/richdata2" ref="A2:M2">
      <sortCondition ref="B1"/>
    </sortState>
  </autoFilter>
  <pageMargins left="0.45" right="0.15" top="0.16" bottom="0.13" header="0.17" footer="0.1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NET SALARY (4)</vt:lpstr>
      <vt:lpstr>'NET SALARY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RAJABU MWANYIKA</dc:creator>
  <cp:lastModifiedBy>RAJABU MWANYIKA</cp:lastModifiedBy>
  <dcterms:created xsi:type="dcterms:W3CDTF">2026-09-08T14:02:30Z</dcterms:created>
  <dcterms:modified xsi:type="dcterms:W3CDTF">2026-09-08T14:04:23Z</dcterms:modified>
</cp:coreProperties>
</file>